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esktop\Shreya\2026-SSR\11. FM- Projects\Comparable Comps\"/>
    </mc:Choice>
  </mc:AlternateContent>
  <xr:revisionPtr revIDLastSave="0" documentId="13_ncr:1_{50E2D13B-BCEE-4C70-B39C-17FE2DBD9080}" xr6:coauthVersionLast="47" xr6:coauthVersionMax="47" xr10:uidLastSave="{00000000-0000-0000-0000-000000000000}"/>
  <bookViews>
    <workbookView xWindow="-108" yWindow="-108" windowWidth="23256" windowHeight="12576" xr2:uid="{770CC804-BA9B-4D2C-90B1-0C9DE92A83C7}"/>
  </bookViews>
  <sheets>
    <sheet name="Comps Val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M11" i="1"/>
  <c r="L11" i="1"/>
  <c r="K11" i="1"/>
  <c r="H11" i="1"/>
  <c r="G11" i="1"/>
  <c r="P32" i="1" s="1"/>
  <c r="F11" i="1"/>
  <c r="E11" i="1"/>
  <c r="P34" i="1" s="1"/>
  <c r="D11" i="1"/>
  <c r="B12" i="1"/>
  <c r="D12" i="1"/>
  <c r="E12" i="1"/>
  <c r="F12" i="1"/>
  <c r="G12" i="1"/>
  <c r="H12" i="1"/>
  <c r="K12" i="1"/>
  <c r="L12" i="1"/>
  <c r="M12" i="1"/>
  <c r="M13" i="1"/>
  <c r="M14" i="1"/>
  <c r="M15" i="1"/>
  <c r="M16" i="1"/>
  <c r="M17" i="1"/>
  <c r="M18" i="1"/>
  <c r="M19" i="1"/>
  <c r="M20" i="1"/>
  <c r="L13" i="1"/>
  <c r="L14" i="1"/>
  <c r="L15" i="1"/>
  <c r="L16" i="1"/>
  <c r="L17" i="1"/>
  <c r="L18" i="1"/>
  <c r="L19" i="1"/>
  <c r="L20" i="1"/>
  <c r="K13" i="1"/>
  <c r="K14" i="1"/>
  <c r="K15" i="1"/>
  <c r="K16" i="1"/>
  <c r="K17" i="1"/>
  <c r="K18" i="1"/>
  <c r="K19" i="1"/>
  <c r="K20" i="1"/>
  <c r="H13" i="1"/>
  <c r="P13" i="1" s="1"/>
  <c r="H14" i="1"/>
  <c r="O14" i="1" s="1"/>
  <c r="H15" i="1"/>
  <c r="O15" i="1" s="1"/>
  <c r="H16" i="1"/>
  <c r="O16" i="1" s="1"/>
  <c r="H17" i="1"/>
  <c r="H18" i="1"/>
  <c r="H19" i="1"/>
  <c r="O19" i="1" s="1"/>
  <c r="H20" i="1"/>
  <c r="O20" i="1" s="1"/>
  <c r="G13" i="1"/>
  <c r="G14" i="1"/>
  <c r="G15" i="1"/>
  <c r="G16" i="1"/>
  <c r="G17" i="1"/>
  <c r="G18" i="1"/>
  <c r="G19" i="1"/>
  <c r="G20" i="1"/>
  <c r="I4" i="2"/>
  <c r="I5" i="2"/>
  <c r="I6" i="2"/>
  <c r="I7" i="2"/>
  <c r="I8" i="2"/>
  <c r="I9" i="2"/>
  <c r="I10" i="2"/>
  <c r="I11" i="2"/>
  <c r="I12" i="2"/>
  <c r="I3" i="2"/>
  <c r="E13" i="1"/>
  <c r="E14" i="1"/>
  <c r="E15" i="1"/>
  <c r="E16" i="1"/>
  <c r="E17" i="1"/>
  <c r="E18" i="1"/>
  <c r="E19" i="1"/>
  <c r="E20" i="1"/>
  <c r="D13" i="1"/>
  <c r="D14" i="1"/>
  <c r="D15" i="1"/>
  <c r="D16" i="1"/>
  <c r="D17" i="1"/>
  <c r="D18" i="1"/>
  <c r="D19" i="1"/>
  <c r="D20" i="1"/>
  <c r="B13" i="1"/>
  <c r="B14" i="1"/>
  <c r="B15" i="1"/>
  <c r="B16" i="1"/>
  <c r="B17" i="1"/>
  <c r="B18" i="1"/>
  <c r="B19" i="1"/>
  <c r="B20" i="1"/>
  <c r="F4" i="2"/>
  <c r="J4" i="2" s="1"/>
  <c r="F5" i="2"/>
  <c r="J5" i="2" s="1"/>
  <c r="F6" i="2"/>
  <c r="J6" i="2" s="1"/>
  <c r="F7" i="2"/>
  <c r="J7" i="2" s="1"/>
  <c r="F8" i="2"/>
  <c r="J8" i="2" s="1"/>
  <c r="F9" i="2"/>
  <c r="J9" i="2" s="1"/>
  <c r="F10" i="2"/>
  <c r="J10" i="2" s="1"/>
  <c r="F11" i="2"/>
  <c r="J11" i="2" s="1"/>
  <c r="F12" i="2"/>
  <c r="J12" i="2" s="1"/>
  <c r="F17" i="2"/>
  <c r="J17" i="2" s="1"/>
  <c r="F18" i="2"/>
  <c r="J18" i="2" s="1"/>
  <c r="F19" i="2"/>
  <c r="J19" i="2" s="1"/>
  <c r="F20" i="2"/>
  <c r="J20" i="2" s="1"/>
  <c r="F21" i="2"/>
  <c r="J21" i="2" s="1"/>
  <c r="F3" i="2"/>
  <c r="J3" i="2" s="1"/>
  <c r="O18" i="1" l="1"/>
  <c r="O17" i="1"/>
  <c r="O11" i="1"/>
  <c r="O32" i="1"/>
  <c r="O12" i="1"/>
  <c r="Q32" i="1"/>
  <c r="Q12" i="1"/>
  <c r="O34" i="1"/>
  <c r="Q34" i="1"/>
  <c r="P18" i="1"/>
  <c r="P14" i="1"/>
  <c r="Q11" i="1"/>
  <c r="O13" i="1"/>
  <c r="O25" i="1" s="1"/>
  <c r="O31" i="1" s="1"/>
  <c r="O33" i="1" s="1"/>
  <c r="O35" i="1" s="1"/>
  <c r="O38" i="1" s="1"/>
  <c r="P17" i="1"/>
  <c r="P20" i="1"/>
  <c r="P16" i="1"/>
  <c r="P12" i="1"/>
  <c r="P19" i="1"/>
  <c r="P15" i="1"/>
  <c r="P11" i="1"/>
  <c r="F19" i="1"/>
  <c r="Q19" i="1" s="1"/>
  <c r="F18" i="1"/>
  <c r="Q18" i="1" s="1"/>
  <c r="F17" i="1"/>
  <c r="Q17" i="1" s="1"/>
  <c r="F16" i="1"/>
  <c r="Q16" i="1" s="1"/>
  <c r="F15" i="1"/>
  <c r="Q15" i="1" s="1"/>
  <c r="F14" i="1"/>
  <c r="Q14" i="1" s="1"/>
  <c r="F20" i="1"/>
  <c r="Q20" i="1" s="1"/>
  <c r="F13" i="1"/>
  <c r="Q13" i="1" s="1"/>
  <c r="O27" i="1" l="1"/>
  <c r="O22" i="1"/>
  <c r="O23" i="1"/>
  <c r="O24" i="1"/>
  <c r="P23" i="1"/>
  <c r="P27" i="1"/>
  <c r="P24" i="1"/>
  <c r="P26" i="1"/>
  <c r="P25" i="1"/>
  <c r="P31" i="1" s="1"/>
  <c r="P33" i="1" s="1"/>
  <c r="P35" i="1" s="1"/>
  <c r="P38" i="1" s="1"/>
  <c r="P22" i="1"/>
  <c r="Q24" i="1"/>
  <c r="Q23" i="1"/>
  <c r="Q27" i="1"/>
  <c r="Q22" i="1"/>
  <c r="Q26" i="1"/>
  <c r="Q25" i="1"/>
  <c r="Q33" i="1" s="1"/>
  <c r="Q35" i="1" s="1"/>
  <c r="Q38" i="1" s="1"/>
  <c r="O26" i="1"/>
  <c r="Q31" i="1" l="1"/>
</calcChain>
</file>

<file path=xl/sharedStrings.xml><?xml version="1.0" encoding="utf-8"?>
<sst xmlns="http://schemas.openxmlformats.org/spreadsheetml/2006/main" count="75" uniqueCount="71">
  <si>
    <t xml:space="preserve">Comparable Company Valuation </t>
  </si>
  <si>
    <t xml:space="preserve">Company </t>
  </si>
  <si>
    <t xml:space="preserve">Ticker </t>
  </si>
  <si>
    <t>Share Price</t>
  </si>
  <si>
    <t xml:space="preserve">Shares Outstanding </t>
  </si>
  <si>
    <t xml:space="preserve">Equity Value </t>
  </si>
  <si>
    <t xml:space="preserve">Net debt </t>
  </si>
  <si>
    <t xml:space="preserve">Enterprise Value </t>
  </si>
  <si>
    <t>Market Data</t>
  </si>
  <si>
    <t>Revenue</t>
  </si>
  <si>
    <t>EBITDA</t>
  </si>
  <si>
    <t>Net income</t>
  </si>
  <si>
    <t xml:space="preserve">Valuation </t>
  </si>
  <si>
    <t>Financials</t>
  </si>
  <si>
    <t>S.No.</t>
  </si>
  <si>
    <t>Name</t>
  </si>
  <si>
    <t>CMP Rs.</t>
  </si>
  <si>
    <t>No. Eq. Shares Cr.</t>
  </si>
  <si>
    <t>Debt Rs.Cr.</t>
  </si>
  <si>
    <t>Cash End Rs.Cr.</t>
  </si>
  <si>
    <t>Sales Rs.Cr.</t>
  </si>
  <si>
    <t>NP 12M Rs.Cr.</t>
  </si>
  <si>
    <t>Mar Cap Rs.Cr. </t>
  </si>
  <si>
    <t>Sun Pharma.Inds.</t>
  </si>
  <si>
    <t>Divi's Lab.</t>
  </si>
  <si>
    <t>Torrent Pharma.</t>
  </si>
  <si>
    <t>Cipla</t>
  </si>
  <si>
    <t>Zydus Lifesci.</t>
  </si>
  <si>
    <t>Lupin</t>
  </si>
  <si>
    <t>Dr Reddy's Labs</t>
  </si>
  <si>
    <t>Mankind Pharma</t>
  </si>
  <si>
    <t>Laurus Labs</t>
  </si>
  <si>
    <t>Aurobindo Pharma</t>
  </si>
  <si>
    <t>Biocon</t>
  </si>
  <si>
    <t>Glenmark Pharma.</t>
  </si>
  <si>
    <t>Alkem Lab</t>
  </si>
  <si>
    <t>Abbott India</t>
  </si>
  <si>
    <t>Gland Pharma</t>
  </si>
  <si>
    <t>Market Cap</t>
  </si>
  <si>
    <t xml:space="preserve">EV </t>
  </si>
  <si>
    <t xml:space="preserve">Net Debt </t>
  </si>
  <si>
    <t>EV/Revenue</t>
  </si>
  <si>
    <t>EV/EBITDA</t>
  </si>
  <si>
    <t>P/E</t>
  </si>
  <si>
    <t xml:space="preserve">High </t>
  </si>
  <si>
    <t xml:space="preserve">Median </t>
  </si>
  <si>
    <t>25th percentile</t>
  </si>
  <si>
    <t>Low</t>
  </si>
  <si>
    <t>75th percentile</t>
  </si>
  <si>
    <t>Average</t>
  </si>
  <si>
    <t xml:space="preserve">Cipla Comparable Valuation </t>
  </si>
  <si>
    <t xml:space="preserve">Implied Enterprise Value </t>
  </si>
  <si>
    <t>Net Debt</t>
  </si>
  <si>
    <t xml:space="preserve">Implied Market Value </t>
  </si>
  <si>
    <t>Shares Outstanding</t>
  </si>
  <si>
    <t xml:space="preserve">Implied Value per share </t>
  </si>
  <si>
    <t>Source: Screener.com</t>
  </si>
  <si>
    <t>INDIAN PHARMACEUTICALS</t>
  </si>
  <si>
    <t xml:space="preserve">Trading Comparbles and Relative Valuation </t>
  </si>
  <si>
    <t>CIPLA</t>
  </si>
  <si>
    <t>SUNPHARMA</t>
  </si>
  <si>
    <t>DIVISLAB</t>
  </si>
  <si>
    <t>TORNTPHARM</t>
  </si>
  <si>
    <t>ZYDUSLIFE</t>
  </si>
  <si>
    <t>LUPIN</t>
  </si>
  <si>
    <t>DRREDDY</t>
  </si>
  <si>
    <t>MANKIND</t>
  </si>
  <si>
    <t>LAURUSLABS</t>
  </si>
  <si>
    <t>AUROPHARMA</t>
  </si>
  <si>
    <t xml:space="preserve">Shreya  Sinha Roy </t>
  </si>
  <si>
    <r>
      <t xml:space="preserve">Amount in crores </t>
    </r>
    <r>
      <rPr>
        <sz val="10"/>
        <color theme="0" tint="-0.499984740745262"/>
        <rFont val="Calibri"/>
        <family val="2"/>
      </rPr>
      <t xml:space="preserve">| </t>
    </r>
    <r>
      <rPr>
        <i/>
        <sz val="10"/>
        <color theme="0" tint="-0.499984740745262"/>
        <rFont val="Calibri"/>
        <family val="2"/>
      </rPr>
      <t>Market data as on 13th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</si>
</sst>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"/>
    <numFmt numFmtId="167" formatCode="0.0\x"/>
    <numFmt numFmtId="168" formatCode="mmmm\ yyyy"/>
  </numFmts>
  <fonts count="1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2060"/>
      <name val="Calibri"/>
      <family val="2"/>
    </font>
    <font>
      <i/>
      <sz val="11"/>
      <color theme="1"/>
      <name val="Calibri"/>
      <family val="2"/>
    </font>
    <font>
      <i/>
      <sz val="10"/>
      <color theme="0" tint="-0.499984740745262"/>
      <name val="Calibri"/>
      <family val="2"/>
    </font>
    <font>
      <sz val="10"/>
      <color theme="0" tint="-0.499984740745262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0" borderId="2" xfId="0" applyFont="1" applyBorder="1"/>
    <xf numFmtId="0" fontId="2" fillId="0" borderId="2" xfId="0" applyFont="1" applyBorder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2" fillId="0" borderId="3" xfId="0" applyFont="1" applyBorder="1" applyAlignment="1">
      <alignment horizontal="left"/>
    </xf>
    <xf numFmtId="3" fontId="2" fillId="0" borderId="3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7" fontId="2" fillId="0" borderId="3" xfId="0" applyNumberFormat="1" applyFont="1" applyBorder="1" applyAlignment="1">
      <alignment horizontal="right" wrapText="1"/>
    </xf>
    <xf numFmtId="0" fontId="5" fillId="2" borderId="2" xfId="0" applyFont="1" applyFill="1" applyBorder="1"/>
    <xf numFmtId="0" fontId="3" fillId="4" borderId="4" xfId="0" applyFont="1" applyFill="1" applyBorder="1"/>
    <xf numFmtId="165" fontId="3" fillId="4" borderId="4" xfId="0" applyNumberFormat="1" applyFont="1" applyFill="1" applyBorder="1"/>
    <xf numFmtId="0" fontId="2" fillId="0" borderId="3" xfId="0" applyFont="1" applyBorder="1"/>
    <xf numFmtId="3" fontId="2" fillId="0" borderId="3" xfId="0" applyNumberFormat="1" applyFont="1" applyBorder="1"/>
    <xf numFmtId="0" fontId="2" fillId="0" borderId="5" xfId="0" applyFont="1" applyBorder="1"/>
    <xf numFmtId="166" fontId="2" fillId="0" borderId="5" xfId="0" applyNumberFormat="1" applyFont="1" applyBorder="1"/>
    <xf numFmtId="0" fontId="2" fillId="4" borderId="3" xfId="0" applyFont="1" applyFill="1" applyBorder="1"/>
    <xf numFmtId="167" fontId="2" fillId="4" borderId="3" xfId="0" applyNumberFormat="1" applyFont="1" applyFill="1" applyBorder="1"/>
    <xf numFmtId="0" fontId="3" fillId="4" borderId="3" xfId="0" applyFont="1" applyFill="1" applyBorder="1"/>
    <xf numFmtId="167" fontId="3" fillId="4" borderId="3" xfId="0" applyNumberFormat="1" applyFont="1" applyFill="1" applyBorder="1"/>
    <xf numFmtId="165" fontId="3" fillId="0" borderId="0" xfId="0" applyNumberFormat="1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5" fillId="2" borderId="0" xfId="0" applyFont="1" applyFill="1" applyAlignment="1">
      <alignment horizontal="right"/>
    </xf>
    <xf numFmtId="17" fontId="5" fillId="2" borderId="0" xfId="0" applyNumberFormat="1" applyFont="1" applyFill="1" applyAlignment="1">
      <alignment horizontal="right"/>
    </xf>
    <xf numFmtId="168" fontId="5" fillId="2" borderId="0" xfId="0" applyNumberFormat="1" applyFont="1" applyFill="1" applyAlignment="1">
      <alignment horizontal="right"/>
    </xf>
    <xf numFmtId="0" fontId="10" fillId="2" borderId="0" xfId="0" applyFont="1" applyFill="1"/>
    <xf numFmtId="0" fontId="11" fillId="2" borderId="0" xfId="0" applyFont="1" applyFill="1"/>
    <xf numFmtId="0" fontId="8" fillId="0" borderId="0" xfId="0" applyFont="1" applyAlignment="1">
      <alignment horizontal="left" vertical="top"/>
    </xf>
    <xf numFmtId="0" fontId="3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wrapText="1"/>
    </xf>
    <xf numFmtId="3" fontId="3" fillId="3" borderId="3" xfId="0" applyNumberFormat="1" applyFont="1" applyFill="1" applyBorder="1" applyAlignment="1">
      <alignment horizontal="right"/>
    </xf>
    <xf numFmtId="166" fontId="3" fillId="3" borderId="3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right" wrapText="1"/>
    </xf>
    <xf numFmtId="167" fontId="3" fillId="3" borderId="3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/>
    </xf>
    <xf numFmtId="0" fontId="8" fillId="5" borderId="0" xfId="0" applyFont="1" applyFill="1" applyAlignment="1">
      <alignment horizontal="left" vertical="top"/>
    </xf>
  </cellXfs>
  <cellStyles count="1">
    <cellStyle name="Normal" xfId="0" builtinId="0"/>
  </cellStyles>
  <dxfs count="1"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24F0-ED3C-4C94-916C-C75B1FA17601}">
  <dimension ref="B1:R38"/>
  <sheetViews>
    <sheetView showGridLines="0" tabSelected="1" topLeftCell="A10" zoomScaleNormal="100" workbookViewId="0">
      <selection activeCell="S8" sqref="S8"/>
    </sheetView>
  </sheetViews>
  <sheetFormatPr defaultRowHeight="14.4" x14ac:dyDescent="0.3"/>
  <cols>
    <col min="1" max="1" width="1.88671875" style="2" customWidth="1"/>
    <col min="2" max="2" width="16.6640625" style="2" bestFit="1" customWidth="1"/>
    <col min="3" max="3" width="13.5546875" style="2" bestFit="1" customWidth="1"/>
    <col min="4" max="4" width="10" style="2" customWidth="1"/>
    <col min="5" max="5" width="12.109375" style="2" customWidth="1"/>
    <col min="6" max="6" width="12.21875" style="2" customWidth="1"/>
    <col min="7" max="7" width="11.88671875" style="2" customWidth="1"/>
    <col min="8" max="8" width="12.21875" style="2" customWidth="1"/>
    <col min="9" max="9" width="6" style="2" customWidth="1"/>
    <col min="10" max="10" width="1.88671875" style="2" customWidth="1"/>
    <col min="11" max="11" width="10.21875" style="2" customWidth="1"/>
    <col min="12" max="12" width="9.88671875" style="2" bestFit="1" customWidth="1"/>
    <col min="13" max="13" width="11.33203125" style="2" customWidth="1"/>
    <col min="14" max="14" width="1.88671875" style="2" customWidth="1"/>
    <col min="15" max="15" width="12.77734375" style="2" customWidth="1"/>
    <col min="16" max="16" width="12.21875" style="2" customWidth="1"/>
    <col min="17" max="17" width="11.6640625" style="2" customWidth="1"/>
    <col min="18" max="16384" width="8.88671875" style="2"/>
  </cols>
  <sheetData>
    <row r="1" spans="2:17" s="32" customFormat="1" ht="21" x14ac:dyDescent="0.4">
      <c r="B1" s="36" t="s">
        <v>57</v>
      </c>
      <c r="C1" s="36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3"/>
      <c r="Q1" s="33" t="s">
        <v>69</v>
      </c>
    </row>
    <row r="2" spans="2:17" s="32" customFormat="1" ht="18" x14ac:dyDescent="0.35">
      <c r="B2" s="37" t="s">
        <v>58</v>
      </c>
      <c r="C2" s="37"/>
      <c r="D2" s="37"/>
      <c r="E2" s="37"/>
      <c r="F2" s="37"/>
      <c r="G2" s="5"/>
      <c r="H2" s="5"/>
      <c r="I2" s="5"/>
      <c r="J2" s="5"/>
      <c r="K2" s="5"/>
      <c r="L2" s="5"/>
      <c r="M2" s="5"/>
      <c r="N2" s="5"/>
      <c r="O2" s="5"/>
      <c r="P2" s="34"/>
      <c r="Q2" s="35">
        <v>46235</v>
      </c>
    </row>
    <row r="3" spans="2:17" x14ac:dyDescent="0.3">
      <c r="B3" s="46" t="s">
        <v>70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2:17" x14ac:dyDescent="0.3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2:17" x14ac:dyDescent="0.3">
      <c r="B5" s="31"/>
    </row>
    <row r="6" spans="2:17" x14ac:dyDescent="0.3">
      <c r="B6" s="6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ht="3.6" customHeight="1" x14ac:dyDescent="0.3"/>
    <row r="8" spans="2:17" x14ac:dyDescent="0.3">
      <c r="B8" s="5"/>
      <c r="C8" s="5"/>
      <c r="D8" s="45" t="s">
        <v>8</v>
      </c>
      <c r="E8" s="45"/>
      <c r="F8" s="45"/>
      <c r="G8" s="45"/>
      <c r="H8" s="45"/>
      <c r="I8" s="5"/>
      <c r="J8" s="5"/>
      <c r="K8" s="45" t="s">
        <v>13</v>
      </c>
      <c r="L8" s="45"/>
      <c r="M8" s="45"/>
      <c r="N8" s="5"/>
      <c r="O8" s="45" t="s">
        <v>12</v>
      </c>
      <c r="P8" s="45"/>
      <c r="Q8" s="45"/>
    </row>
    <row r="9" spans="2:17" ht="45.6" customHeight="1" x14ac:dyDescent="0.3">
      <c r="B9" s="8" t="s">
        <v>1</v>
      </c>
      <c r="C9" s="8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  <c r="I9" s="9"/>
      <c r="J9" s="9"/>
      <c r="K9" s="9" t="s">
        <v>9</v>
      </c>
      <c r="L9" s="9" t="s">
        <v>10</v>
      </c>
      <c r="M9" s="9" t="s">
        <v>11</v>
      </c>
      <c r="N9" s="9"/>
      <c r="O9" s="9" t="s">
        <v>41</v>
      </c>
      <c r="P9" s="9" t="s">
        <v>42</v>
      </c>
      <c r="Q9" s="9" t="s">
        <v>43</v>
      </c>
    </row>
    <row r="10" spans="2:17" ht="3.6" customHeight="1" x14ac:dyDescent="0.3"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2:17" ht="15" customHeight="1" x14ac:dyDescent="0.3">
      <c r="B11" s="39" t="str">
        <f>Data!C6</f>
        <v>Cipla</v>
      </c>
      <c r="C11" s="40" t="s">
        <v>59</v>
      </c>
      <c r="D11" s="41">
        <f>Data!D6</f>
        <v>1461</v>
      </c>
      <c r="E11" s="42">
        <f>Data!E6</f>
        <v>80.78</v>
      </c>
      <c r="F11" s="41">
        <f>Data!F6</f>
        <v>118019.58</v>
      </c>
      <c r="G11" s="41">
        <f>Data!I6</f>
        <v>-693.65000000000009</v>
      </c>
      <c r="H11" s="41">
        <f>Data!J6</f>
        <v>117325.93000000001</v>
      </c>
      <c r="I11" s="41"/>
      <c r="J11" s="41"/>
      <c r="K11" s="41">
        <f>Data!K6</f>
        <v>28324.400000000001</v>
      </c>
      <c r="L11" s="41">
        <f>Data!L6</f>
        <v>6131.41</v>
      </c>
      <c r="M11" s="41">
        <f>Data!M6</f>
        <v>3355.68</v>
      </c>
      <c r="N11" s="43"/>
      <c r="O11" s="44">
        <f>$H11/K11</f>
        <v>4.1422211944471901</v>
      </c>
      <c r="P11" s="44">
        <f t="shared" ref="P11:P20" si="0">$H11/L11</f>
        <v>19.135228275388535</v>
      </c>
      <c r="Q11" s="44">
        <f t="shared" ref="Q11:Q20" si="1">F11/M11</f>
        <v>35.170093691889576</v>
      </c>
    </row>
    <row r="12" spans="2:17" x14ac:dyDescent="0.3">
      <c r="B12" s="13" t="str">
        <f>Data!C3</f>
        <v>Sun Pharma.Inds.</v>
      </c>
      <c r="C12" s="13" t="s">
        <v>60</v>
      </c>
      <c r="D12" s="14">
        <f>Data!D3</f>
        <v>1942.85</v>
      </c>
      <c r="E12" s="15">
        <f>Data!E3</f>
        <v>239.93</v>
      </c>
      <c r="F12" s="14">
        <f>Data!F3</f>
        <v>466148.00049999997</v>
      </c>
      <c r="G12" s="14">
        <f>Data!I3</f>
        <v>-6975.76</v>
      </c>
      <c r="H12" s="14">
        <f>Data!J3</f>
        <v>459172.24049999996</v>
      </c>
      <c r="I12" s="14"/>
      <c r="J12" s="14"/>
      <c r="K12" s="14">
        <f>Data!K3</f>
        <v>59910.52</v>
      </c>
      <c r="L12" s="14">
        <f>Data!L3</f>
        <v>20078.29</v>
      </c>
      <c r="M12" s="14">
        <f>Data!M3</f>
        <v>12117.01</v>
      </c>
      <c r="N12" s="16"/>
      <c r="O12" s="17">
        <f t="shared" ref="O12:O20" si="2">$H12/K12</f>
        <v>7.6643007021137519</v>
      </c>
      <c r="P12" s="17">
        <f t="shared" si="0"/>
        <v>22.86909096840418</v>
      </c>
      <c r="Q12" s="17">
        <f t="shared" si="1"/>
        <v>38.470546818068151</v>
      </c>
    </row>
    <row r="13" spans="2:17" x14ac:dyDescent="0.3">
      <c r="B13" s="13" t="str">
        <f>Data!C4</f>
        <v>Divi's Lab.</v>
      </c>
      <c r="C13" s="13" t="s">
        <v>61</v>
      </c>
      <c r="D13" s="14">
        <f>Data!D4</f>
        <v>8500</v>
      </c>
      <c r="E13" s="15">
        <f>Data!E4</f>
        <v>26.55</v>
      </c>
      <c r="F13" s="14">
        <f>Data!F4</f>
        <v>225675</v>
      </c>
      <c r="G13" s="14">
        <f>Data!I4</f>
        <v>-3407</v>
      </c>
      <c r="H13" s="14">
        <f>Data!J4</f>
        <v>222268</v>
      </c>
      <c r="I13" s="14"/>
      <c r="J13" s="14"/>
      <c r="K13" s="14">
        <f>Data!K4</f>
        <v>11230</v>
      </c>
      <c r="L13" s="14">
        <f>Data!L4</f>
        <v>4419</v>
      </c>
      <c r="M13" s="14">
        <f>Data!M4</f>
        <v>2925</v>
      </c>
      <c r="N13" s="16"/>
      <c r="O13" s="17">
        <f t="shared" si="2"/>
        <v>19.792341941228852</v>
      </c>
      <c r="P13" s="17">
        <f t="shared" si="0"/>
        <v>50.298257524326772</v>
      </c>
      <c r="Q13" s="17">
        <f t="shared" si="1"/>
        <v>77.15384615384616</v>
      </c>
    </row>
    <row r="14" spans="2:17" x14ac:dyDescent="0.3">
      <c r="B14" s="13" t="str">
        <f>Data!C5</f>
        <v>Torrent Pharma.</v>
      </c>
      <c r="C14" s="13" t="s">
        <v>62</v>
      </c>
      <c r="D14" s="14">
        <f>Data!D5</f>
        <v>4876.3</v>
      </c>
      <c r="E14" s="15">
        <f>Data!E5</f>
        <v>38.04</v>
      </c>
      <c r="F14" s="14">
        <f>Data!F5</f>
        <v>185494.45199999999</v>
      </c>
      <c r="G14" s="14">
        <f>Data!I5</f>
        <v>13860.3</v>
      </c>
      <c r="H14" s="14">
        <f>Data!J5</f>
        <v>199354.75199999998</v>
      </c>
      <c r="I14" s="14"/>
      <c r="J14" s="14"/>
      <c r="K14" s="14">
        <f>Data!K5</f>
        <v>15723</v>
      </c>
      <c r="L14" s="14">
        <f>Data!L5</f>
        <v>5122</v>
      </c>
      <c r="M14" s="14">
        <f>Data!M5</f>
        <v>2156</v>
      </c>
      <c r="N14" s="16"/>
      <c r="O14" s="17">
        <f t="shared" si="2"/>
        <v>12.679180309101316</v>
      </c>
      <c r="P14" s="17">
        <f t="shared" si="0"/>
        <v>38.92127137836782</v>
      </c>
      <c r="Q14" s="17">
        <f t="shared" si="1"/>
        <v>86.036387755102041</v>
      </c>
    </row>
    <row r="15" spans="2:17" x14ac:dyDescent="0.3">
      <c r="B15" s="13" t="str">
        <f>Data!C7</f>
        <v>Zydus Lifesci.</v>
      </c>
      <c r="C15" s="13" t="s">
        <v>63</v>
      </c>
      <c r="D15" s="14">
        <f>Data!D7</f>
        <v>1173</v>
      </c>
      <c r="E15" s="15">
        <f>Data!E7</f>
        <v>99.75</v>
      </c>
      <c r="F15" s="14">
        <f>Data!F7</f>
        <v>117006.75</v>
      </c>
      <c r="G15" s="14">
        <f>Data!I7</f>
        <v>11079.4</v>
      </c>
      <c r="H15" s="14">
        <f>Data!J7</f>
        <v>128086.15</v>
      </c>
      <c r="I15" s="14"/>
      <c r="J15" s="14"/>
      <c r="K15" s="14">
        <f>Data!K7</f>
        <v>28591.7</v>
      </c>
      <c r="L15" s="14">
        <f>Data!L7</f>
        <v>8776.7000000000007</v>
      </c>
      <c r="M15" s="14">
        <f>Data!M7</f>
        <v>4592.7</v>
      </c>
      <c r="N15" s="16"/>
      <c r="O15" s="17">
        <f t="shared" si="2"/>
        <v>4.4798368057862943</v>
      </c>
      <c r="P15" s="17">
        <f t="shared" si="0"/>
        <v>14.593884945366709</v>
      </c>
      <c r="Q15" s="17">
        <f t="shared" si="1"/>
        <v>25.476680384087793</v>
      </c>
    </row>
    <row r="16" spans="2:17" x14ac:dyDescent="0.3">
      <c r="B16" s="13" t="str">
        <f>Data!C8</f>
        <v>Lupin</v>
      </c>
      <c r="C16" s="13" t="s">
        <v>64</v>
      </c>
      <c r="D16" s="14">
        <f>Data!D8</f>
        <v>2261</v>
      </c>
      <c r="E16" s="15">
        <f>Data!E8</f>
        <v>45.72</v>
      </c>
      <c r="F16" s="14">
        <f>Data!F8</f>
        <v>103372.92</v>
      </c>
      <c r="G16" s="14">
        <f>Data!I8</f>
        <v>963.28000000000065</v>
      </c>
      <c r="H16" s="14">
        <f>Data!J8</f>
        <v>104336.20000000001</v>
      </c>
      <c r="I16" s="14"/>
      <c r="J16" s="14"/>
      <c r="K16" s="14">
        <f>Data!K8</f>
        <v>29966.58</v>
      </c>
      <c r="L16" s="14">
        <f>Data!L8</f>
        <v>10014.02</v>
      </c>
      <c r="M16" s="14">
        <f>Data!M8</f>
        <v>5550.99</v>
      </c>
      <c r="N16" s="16"/>
      <c r="O16" s="17">
        <f t="shared" si="2"/>
        <v>3.4817520050669781</v>
      </c>
      <c r="P16" s="17">
        <f>$H16/L16</f>
        <v>10.419012544412734</v>
      </c>
      <c r="Q16" s="17">
        <f t="shared" si="1"/>
        <v>18.622429512573433</v>
      </c>
    </row>
    <row r="17" spans="2:17" x14ac:dyDescent="0.3">
      <c r="B17" s="13" t="str">
        <f>Data!C9</f>
        <v>Dr Reddy's Labs</v>
      </c>
      <c r="C17" s="13" t="s">
        <v>65</v>
      </c>
      <c r="D17" s="14">
        <f>Data!D9</f>
        <v>1206</v>
      </c>
      <c r="E17" s="15">
        <f>Data!E9</f>
        <v>83.47</v>
      </c>
      <c r="F17" s="14">
        <f>Data!F9</f>
        <v>100664.81999999999</v>
      </c>
      <c r="G17" s="14">
        <f>Data!I9</f>
        <v>4385.4000000000005</v>
      </c>
      <c r="H17" s="14">
        <f>Data!J9</f>
        <v>105050.22</v>
      </c>
      <c r="I17" s="14"/>
      <c r="J17" s="14"/>
      <c r="K17" s="14">
        <f>Data!K9</f>
        <v>33227.9</v>
      </c>
      <c r="L17" s="14">
        <f>Data!L9</f>
        <v>6576.6</v>
      </c>
      <c r="M17" s="14">
        <f>Data!M9</f>
        <v>3183.3</v>
      </c>
      <c r="N17" s="16"/>
      <c r="O17" s="17">
        <f t="shared" si="2"/>
        <v>3.1615064448851715</v>
      </c>
      <c r="P17" s="17">
        <f t="shared" si="0"/>
        <v>15.97333272511632</v>
      </c>
      <c r="Q17" s="17">
        <f t="shared" si="1"/>
        <v>31.622787673169348</v>
      </c>
    </row>
    <row r="18" spans="2:17" x14ac:dyDescent="0.3">
      <c r="B18" s="13" t="str">
        <f>Data!C10</f>
        <v>Mankind Pharma</v>
      </c>
      <c r="C18" s="13" t="s">
        <v>66</v>
      </c>
      <c r="D18" s="14">
        <f>Data!D10</f>
        <v>2418</v>
      </c>
      <c r="E18" s="15">
        <f>Data!E10</f>
        <v>41.3</v>
      </c>
      <c r="F18" s="14">
        <f>Data!F10</f>
        <v>99863.4</v>
      </c>
      <c r="G18" s="14">
        <f>Data!I10</f>
        <v>5828.77</v>
      </c>
      <c r="H18" s="14">
        <f>Data!J10</f>
        <v>105692.16999999998</v>
      </c>
      <c r="I18" s="14"/>
      <c r="J18" s="14"/>
      <c r="K18" s="14">
        <f>Data!K10</f>
        <v>14737.88</v>
      </c>
      <c r="L18" s="14">
        <f>Data!L10</f>
        <v>4163.2</v>
      </c>
      <c r="M18" s="14">
        <f>Data!M10</f>
        <v>2067.5700000000002</v>
      </c>
      <c r="N18" s="16"/>
      <c r="O18" s="17">
        <f t="shared" si="2"/>
        <v>7.1714636026348426</v>
      </c>
      <c r="P18" s="17">
        <f t="shared" si="0"/>
        <v>25.387242986164487</v>
      </c>
      <c r="Q18" s="17">
        <f t="shared" si="1"/>
        <v>48.299888274641241</v>
      </c>
    </row>
    <row r="19" spans="2:17" x14ac:dyDescent="0.3">
      <c r="B19" s="13" t="str">
        <f>Data!C11</f>
        <v>Laurus Labs</v>
      </c>
      <c r="C19" s="13" t="s">
        <v>67</v>
      </c>
      <c r="D19" s="14">
        <f>Data!D11</f>
        <v>1841.05</v>
      </c>
      <c r="E19" s="15">
        <f>Data!E11</f>
        <v>54.03</v>
      </c>
      <c r="F19" s="14">
        <f>Data!F11</f>
        <v>99471.931500000006</v>
      </c>
      <c r="G19" s="14">
        <f>Data!I11</f>
        <v>2404.7800000000002</v>
      </c>
      <c r="H19" s="14">
        <f>Data!J11</f>
        <v>101876.7115</v>
      </c>
      <c r="I19" s="14"/>
      <c r="J19" s="14"/>
      <c r="K19" s="14">
        <f>Data!K11</f>
        <v>7269.64</v>
      </c>
      <c r="L19" s="14">
        <f>Data!L11</f>
        <v>2087.5500000000002</v>
      </c>
      <c r="M19" s="14">
        <f>Data!M11</f>
        <v>1090.53</v>
      </c>
      <c r="N19" s="16"/>
      <c r="O19" s="17">
        <f t="shared" si="2"/>
        <v>14.013996772880088</v>
      </c>
      <c r="P19" s="17">
        <f t="shared" si="0"/>
        <v>48.802046178534646</v>
      </c>
      <c r="Q19" s="17">
        <f t="shared" si="1"/>
        <v>91.214300844543487</v>
      </c>
    </row>
    <row r="20" spans="2:17" x14ac:dyDescent="0.3">
      <c r="B20" s="13" t="str">
        <f>Data!C12</f>
        <v>Aurobindo Pharma</v>
      </c>
      <c r="C20" s="13" t="s">
        <v>68</v>
      </c>
      <c r="D20" s="14">
        <f>Data!D12</f>
        <v>1656.6</v>
      </c>
      <c r="E20" s="15">
        <f>Data!E12</f>
        <v>58.08</v>
      </c>
      <c r="F20" s="14">
        <f>Data!F12</f>
        <v>96215.327999999994</v>
      </c>
      <c r="G20" s="14">
        <f>Data!I12</f>
        <v>-1797.4500000000007</v>
      </c>
      <c r="H20" s="14">
        <f>Data!J12</f>
        <v>94417.877999999997</v>
      </c>
      <c r="I20" s="14"/>
      <c r="J20" s="14"/>
      <c r="K20" s="14">
        <f>Data!K12</f>
        <v>34935.29</v>
      </c>
      <c r="L20" s="14">
        <f>Data!L12</f>
        <v>7772.84</v>
      </c>
      <c r="M20" s="14">
        <f>Data!M12</f>
        <v>3710.8</v>
      </c>
      <c r="N20" s="16"/>
      <c r="O20" s="17">
        <f t="shared" si="2"/>
        <v>2.7026504717722393</v>
      </c>
      <c r="P20" s="17">
        <f t="shared" si="0"/>
        <v>12.147153164094462</v>
      </c>
      <c r="Q20" s="17">
        <f t="shared" si="1"/>
        <v>25.928459631346339</v>
      </c>
    </row>
    <row r="21" spans="2:17" ht="6" customHeight="1" x14ac:dyDescent="0.3"/>
    <row r="22" spans="2:17" x14ac:dyDescent="0.3">
      <c r="B22" s="25" t="s">
        <v>44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>
        <f>MAX(O11:O20)</f>
        <v>19.792341941228852</v>
      </c>
      <c r="P22" s="26">
        <f t="shared" ref="P22:Q22" si="3">MAX(P11:P20)</f>
        <v>50.298257524326772</v>
      </c>
      <c r="Q22" s="26">
        <f t="shared" si="3"/>
        <v>91.214300844543487</v>
      </c>
    </row>
    <row r="23" spans="2:17" x14ac:dyDescent="0.3">
      <c r="B23" s="25" t="s">
        <v>48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>
        <f>QUARTILE(O11:O20,3)</f>
        <v>11.425460407354425</v>
      </c>
      <c r="P23" s="26">
        <f t="shared" ref="P23:Q23" si="4">QUARTILE(P11:P20,3)</f>
        <v>35.537764280316985</v>
      </c>
      <c r="Q23" s="26">
        <f t="shared" si="4"/>
        <v>69.940356684044929</v>
      </c>
    </row>
    <row r="24" spans="2:17" x14ac:dyDescent="0.3">
      <c r="B24" s="27" t="s">
        <v>49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>
        <f>AVERAGE(O11:O20)</f>
        <v>7.9289250249916723</v>
      </c>
      <c r="P24" s="28">
        <f t="shared" ref="P24:Q24" si="5">AVERAGE(P11:P20)</f>
        <v>25.854652069017664</v>
      </c>
      <c r="Q24" s="28">
        <f t="shared" si="5"/>
        <v>47.799542073926759</v>
      </c>
    </row>
    <row r="25" spans="2:17" x14ac:dyDescent="0.3">
      <c r="B25" s="27" t="s">
        <v>45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>
        <f>MEDIAN(O11:O20)</f>
        <v>5.825650204210568</v>
      </c>
      <c r="P25" s="28">
        <f t="shared" ref="P25:Q25" si="6">MEDIAN(P11:P20)</f>
        <v>21.002159621896357</v>
      </c>
      <c r="Q25" s="28">
        <f t="shared" si="6"/>
        <v>36.820320254978867</v>
      </c>
    </row>
    <row r="26" spans="2:17" x14ac:dyDescent="0.3">
      <c r="B26" s="25" t="s">
        <v>46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>
        <f>QUARTILE(O11:O20,1)</f>
        <v>3.6468693024120311</v>
      </c>
      <c r="P26" s="26">
        <f t="shared" ref="P26:Q26" si="7">QUARTILE(P11:P20,1)</f>
        <v>14.938746890304111</v>
      </c>
      <c r="Q26" s="26">
        <f t="shared" si="7"/>
        <v>27.352041641802092</v>
      </c>
    </row>
    <row r="27" spans="2:17" x14ac:dyDescent="0.3">
      <c r="B27" s="25" t="s">
        <v>47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>
        <f>MIN(O11:O20)</f>
        <v>2.7026504717722393</v>
      </c>
      <c r="P27" s="26">
        <f t="shared" ref="P27:Q27" si="8">MIN(P11:P20)</f>
        <v>10.419012544412734</v>
      </c>
      <c r="Q27" s="26">
        <f t="shared" si="8"/>
        <v>18.622429512573433</v>
      </c>
    </row>
    <row r="29" spans="2:17" x14ac:dyDescent="0.3">
      <c r="B29" s="18" t="s">
        <v>50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9" t="s">
        <v>41</v>
      </c>
      <c r="P29" s="9" t="s">
        <v>42</v>
      </c>
      <c r="Q29" s="9" t="s">
        <v>43</v>
      </c>
    </row>
    <row r="30" spans="2:17" ht="3.6" customHeight="1" x14ac:dyDescent="0.3"/>
    <row r="31" spans="2:17" x14ac:dyDescent="0.3">
      <c r="B31" s="21" t="s">
        <v>51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2">
        <f>O$25*K11</f>
        <v>165008.04664414181</v>
      </c>
      <c r="P31" s="22">
        <f>P$25*L11</f>
        <v>128772.85152729154</v>
      </c>
      <c r="Q31" s="22">
        <f>Q33+Q32</f>
        <v>122863.56227322748</v>
      </c>
    </row>
    <row r="32" spans="2:17" x14ac:dyDescent="0.3">
      <c r="B32" s="21" t="s">
        <v>52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>
        <f>$G$11</f>
        <v>-693.65000000000009</v>
      </c>
      <c r="P32" s="22">
        <f t="shared" ref="P32:Q32" si="9">$G$11</f>
        <v>-693.65000000000009</v>
      </c>
      <c r="Q32" s="22">
        <f t="shared" si="9"/>
        <v>-693.65000000000009</v>
      </c>
    </row>
    <row r="33" spans="2:18" x14ac:dyDescent="0.3">
      <c r="B33" s="21" t="s">
        <v>53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2">
        <f>O31-O32</f>
        <v>165701.6966441418</v>
      </c>
      <c r="P33" s="22">
        <f t="shared" ref="P33" si="10">P31-P32</f>
        <v>129466.50152729153</v>
      </c>
      <c r="Q33" s="22">
        <f>Q25*M11</f>
        <v>123557.21227322747</v>
      </c>
    </row>
    <row r="34" spans="2:18" x14ac:dyDescent="0.3">
      <c r="B34" s="23" t="s">
        <v>54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>
        <f>$E$11</f>
        <v>80.78</v>
      </c>
      <c r="P34" s="24">
        <f t="shared" ref="P34:Q34" si="11">$E$11</f>
        <v>80.78</v>
      </c>
      <c r="Q34" s="24">
        <f t="shared" si="11"/>
        <v>80.78</v>
      </c>
    </row>
    <row r="35" spans="2:18" x14ac:dyDescent="0.3">
      <c r="B35" s="19" t="s">
        <v>55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>
        <f>O33/O34</f>
        <v>2051.2713127524362</v>
      </c>
      <c r="P35" s="20">
        <f t="shared" ref="P35" si="12">P33/P34</f>
        <v>1602.704896351715</v>
      </c>
      <c r="Q35" s="20">
        <f>Q33/Q34</f>
        <v>1529.5520212085598</v>
      </c>
    </row>
    <row r="36" spans="2:18" ht="3.6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29"/>
      <c r="P36" s="29"/>
      <c r="Q36" s="29"/>
    </row>
    <row r="37" spans="2:18" x14ac:dyDescent="0.3">
      <c r="B37" s="30" t="s">
        <v>56</v>
      </c>
    </row>
    <row r="38" spans="2:18" x14ac:dyDescent="0.3">
      <c r="O38" s="10" t="str">
        <f>IF(O35&gt;$D$11,"Undervalued","Overvalued")</f>
        <v>Undervalued</v>
      </c>
      <c r="P38" s="10" t="str">
        <f>IF(P35&gt;$D$11,"Undervalued","Overvalued")</f>
        <v>Undervalued</v>
      </c>
      <c r="Q38" s="10" t="str">
        <f>IF(Q35&gt;$D$11,"Undervalued","Overvalued")</f>
        <v>Undervalued</v>
      </c>
      <c r="R38" s="3"/>
    </row>
  </sheetData>
  <mergeCells count="4">
    <mergeCell ref="K8:M8"/>
    <mergeCell ref="O8:Q8"/>
    <mergeCell ref="D8:H8"/>
    <mergeCell ref="B3:Q3"/>
  </mergeCells>
  <conditionalFormatting sqref="O38:Q38">
    <cfRule type="containsText" dxfId="0" priority="1" operator="containsText" text="Undervalued">
      <formula>NOT(ISERROR(SEARCH("Undervalued",O38)))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851A-AADB-4D8D-875C-7A409D6A48DC}">
  <dimension ref="B2:N21"/>
  <sheetViews>
    <sheetView workbookViewId="0">
      <selection activeCell="I3" sqref="I3:I12"/>
    </sheetView>
  </sheetViews>
  <sheetFormatPr defaultRowHeight="13.8" x14ac:dyDescent="0.3"/>
  <cols>
    <col min="2" max="2" width="5.21875" bestFit="1" customWidth="1"/>
    <col min="3" max="3" width="15.77734375" bestFit="1" customWidth="1"/>
    <col min="4" max="14" width="15.5546875" customWidth="1"/>
  </cols>
  <sheetData>
    <row r="2" spans="2:14" x14ac:dyDescent="0.3">
      <c r="B2" s="1" t="s">
        <v>14</v>
      </c>
      <c r="C2" s="1" t="s">
        <v>15</v>
      </c>
      <c r="D2" s="1" t="s">
        <v>16</v>
      </c>
      <c r="E2" s="1" t="s">
        <v>17</v>
      </c>
      <c r="F2" s="1" t="s">
        <v>38</v>
      </c>
      <c r="G2" s="1" t="s">
        <v>18</v>
      </c>
      <c r="H2" s="1" t="s">
        <v>19</v>
      </c>
      <c r="I2" s="1" t="s">
        <v>40</v>
      </c>
      <c r="J2" s="1" t="s">
        <v>39</v>
      </c>
      <c r="K2" s="1" t="s">
        <v>20</v>
      </c>
      <c r="L2" s="1" t="s">
        <v>10</v>
      </c>
      <c r="M2" s="1" t="s">
        <v>21</v>
      </c>
      <c r="N2" s="1" t="s">
        <v>22</v>
      </c>
    </row>
    <row r="3" spans="2:14" x14ac:dyDescent="0.3">
      <c r="B3">
        <v>1</v>
      </c>
      <c r="C3" t="s">
        <v>23</v>
      </c>
      <c r="D3">
        <v>1942.85</v>
      </c>
      <c r="E3">
        <v>239.93</v>
      </c>
      <c r="F3">
        <f>D3*E3</f>
        <v>466148.00049999997</v>
      </c>
      <c r="G3">
        <v>4627.32</v>
      </c>
      <c r="H3">
        <v>11603.08</v>
      </c>
      <c r="I3">
        <f>G3-H3</f>
        <v>-6975.76</v>
      </c>
      <c r="J3">
        <f>F3+G3-H3</f>
        <v>459172.24049999996</v>
      </c>
      <c r="K3">
        <v>59910.52</v>
      </c>
      <c r="L3">
        <v>20078.29</v>
      </c>
      <c r="M3">
        <v>12117.01</v>
      </c>
      <c r="N3">
        <v>466154.86</v>
      </c>
    </row>
    <row r="4" spans="2:14" x14ac:dyDescent="0.3">
      <c r="B4">
        <v>2</v>
      </c>
      <c r="C4" t="s">
        <v>24</v>
      </c>
      <c r="D4">
        <v>8500</v>
      </c>
      <c r="E4">
        <v>26.55</v>
      </c>
      <c r="F4">
        <f t="shared" ref="F4:F21" si="0">D4*E4</f>
        <v>225675</v>
      </c>
      <c r="G4">
        <v>7</v>
      </c>
      <c r="H4">
        <v>3414</v>
      </c>
      <c r="I4">
        <f t="shared" ref="I4:I12" si="1">G4-H4</f>
        <v>-3407</v>
      </c>
      <c r="J4">
        <f t="shared" ref="J4:J21" si="2">F4+G4-H4</f>
        <v>222268</v>
      </c>
      <c r="K4">
        <v>11230</v>
      </c>
      <c r="L4">
        <v>4419</v>
      </c>
      <c r="M4">
        <v>2925</v>
      </c>
      <c r="N4">
        <v>227100.68</v>
      </c>
    </row>
    <row r="5" spans="2:14" x14ac:dyDescent="0.3">
      <c r="B5">
        <v>3</v>
      </c>
      <c r="C5" t="s">
        <v>25</v>
      </c>
      <c r="D5">
        <v>4876.3</v>
      </c>
      <c r="E5">
        <v>38.04</v>
      </c>
      <c r="F5">
        <f t="shared" si="0"/>
        <v>185494.45199999999</v>
      </c>
      <c r="G5">
        <v>15025.5</v>
      </c>
      <c r="H5">
        <v>1165.2</v>
      </c>
      <c r="I5">
        <f t="shared" si="1"/>
        <v>13860.3</v>
      </c>
      <c r="J5">
        <f t="shared" si="2"/>
        <v>199354.75199999998</v>
      </c>
      <c r="K5">
        <v>15723</v>
      </c>
      <c r="L5">
        <v>5122</v>
      </c>
      <c r="M5">
        <v>2156</v>
      </c>
      <c r="N5">
        <v>185478.78</v>
      </c>
    </row>
    <row r="6" spans="2:14" x14ac:dyDescent="0.3">
      <c r="B6">
        <v>4</v>
      </c>
      <c r="C6" t="s">
        <v>26</v>
      </c>
      <c r="D6">
        <v>1461</v>
      </c>
      <c r="E6">
        <v>80.78</v>
      </c>
      <c r="F6">
        <f t="shared" si="0"/>
        <v>118019.58</v>
      </c>
      <c r="G6">
        <v>613.77</v>
      </c>
      <c r="H6">
        <v>1307.42</v>
      </c>
      <c r="I6">
        <f t="shared" si="1"/>
        <v>-693.65000000000009</v>
      </c>
      <c r="J6">
        <f t="shared" si="2"/>
        <v>117325.93000000001</v>
      </c>
      <c r="K6">
        <v>28324.400000000001</v>
      </c>
      <c r="L6">
        <v>6131.41</v>
      </c>
      <c r="M6">
        <v>3355.68</v>
      </c>
      <c r="N6">
        <v>118143.29</v>
      </c>
    </row>
    <row r="7" spans="2:14" x14ac:dyDescent="0.3">
      <c r="B7">
        <v>5</v>
      </c>
      <c r="C7" t="s">
        <v>27</v>
      </c>
      <c r="D7">
        <v>1173</v>
      </c>
      <c r="E7">
        <v>99.75</v>
      </c>
      <c r="F7">
        <f t="shared" si="0"/>
        <v>117006.75</v>
      </c>
      <c r="G7">
        <v>12496</v>
      </c>
      <c r="H7">
        <v>1416.6</v>
      </c>
      <c r="I7">
        <f t="shared" si="1"/>
        <v>11079.4</v>
      </c>
      <c r="J7">
        <f t="shared" si="2"/>
        <v>128086.15</v>
      </c>
      <c r="K7">
        <v>28591.7</v>
      </c>
      <c r="L7">
        <v>8776.7000000000007</v>
      </c>
      <c r="M7">
        <v>4592.7</v>
      </c>
      <c r="N7">
        <v>117104.38</v>
      </c>
    </row>
    <row r="8" spans="2:14" x14ac:dyDescent="0.3">
      <c r="B8">
        <v>6</v>
      </c>
      <c r="C8" t="s">
        <v>28</v>
      </c>
      <c r="D8">
        <v>2261</v>
      </c>
      <c r="E8">
        <v>45.72</v>
      </c>
      <c r="F8">
        <f t="shared" si="0"/>
        <v>103372.92</v>
      </c>
      <c r="G8">
        <v>6616.18</v>
      </c>
      <c r="H8">
        <v>5652.9</v>
      </c>
      <c r="I8">
        <f t="shared" si="1"/>
        <v>963.28000000000065</v>
      </c>
      <c r="J8">
        <f t="shared" si="2"/>
        <v>104336.20000000001</v>
      </c>
      <c r="K8">
        <v>29966.58</v>
      </c>
      <c r="L8">
        <v>10014.02</v>
      </c>
      <c r="M8">
        <v>5550.99</v>
      </c>
      <c r="N8">
        <v>104124.35</v>
      </c>
    </row>
    <row r="9" spans="2:14" x14ac:dyDescent="0.3">
      <c r="B9">
        <v>7</v>
      </c>
      <c r="C9" t="s">
        <v>29</v>
      </c>
      <c r="D9">
        <v>1206</v>
      </c>
      <c r="E9">
        <v>83.47</v>
      </c>
      <c r="F9">
        <f t="shared" si="0"/>
        <v>100664.81999999999</v>
      </c>
      <c r="G9">
        <v>7734.1</v>
      </c>
      <c r="H9">
        <v>3348.7</v>
      </c>
      <c r="I9">
        <f t="shared" si="1"/>
        <v>4385.4000000000005</v>
      </c>
      <c r="J9">
        <f t="shared" si="2"/>
        <v>105050.22</v>
      </c>
      <c r="K9">
        <v>33227.9</v>
      </c>
      <c r="L9">
        <v>6576.6</v>
      </c>
      <c r="M9">
        <v>3183.3</v>
      </c>
      <c r="N9">
        <v>100750.06</v>
      </c>
    </row>
    <row r="10" spans="2:14" x14ac:dyDescent="0.3">
      <c r="B10">
        <v>8</v>
      </c>
      <c r="C10" t="s">
        <v>30</v>
      </c>
      <c r="D10">
        <v>2418</v>
      </c>
      <c r="E10">
        <v>41.3</v>
      </c>
      <c r="F10">
        <f t="shared" si="0"/>
        <v>99863.4</v>
      </c>
      <c r="G10">
        <v>6311.54</v>
      </c>
      <c r="H10">
        <v>482.77</v>
      </c>
      <c r="I10">
        <f t="shared" si="1"/>
        <v>5828.77</v>
      </c>
      <c r="J10">
        <f t="shared" si="2"/>
        <v>105692.16999999998</v>
      </c>
      <c r="K10">
        <v>14737.88</v>
      </c>
      <c r="L10">
        <v>4163.2</v>
      </c>
      <c r="M10">
        <v>2067.5700000000002</v>
      </c>
      <c r="N10">
        <v>99862.42</v>
      </c>
    </row>
    <row r="11" spans="2:14" x14ac:dyDescent="0.3">
      <c r="B11">
        <v>9</v>
      </c>
      <c r="C11" t="s">
        <v>31</v>
      </c>
      <c r="D11">
        <v>1841.05</v>
      </c>
      <c r="E11">
        <v>54.03</v>
      </c>
      <c r="F11">
        <f t="shared" si="0"/>
        <v>99471.931500000006</v>
      </c>
      <c r="G11">
        <v>2518.48</v>
      </c>
      <c r="H11">
        <v>113.7</v>
      </c>
      <c r="I11">
        <f t="shared" si="1"/>
        <v>2404.7800000000002</v>
      </c>
      <c r="J11">
        <f t="shared" si="2"/>
        <v>101876.7115</v>
      </c>
      <c r="K11">
        <v>7269.64</v>
      </c>
      <c r="L11">
        <v>2087.5500000000002</v>
      </c>
      <c r="M11">
        <v>1090.53</v>
      </c>
      <c r="N11">
        <v>99474.23</v>
      </c>
    </row>
    <row r="12" spans="2:14" x14ac:dyDescent="0.3">
      <c r="B12">
        <v>10</v>
      </c>
      <c r="C12" t="s">
        <v>32</v>
      </c>
      <c r="D12">
        <v>1656.6</v>
      </c>
      <c r="E12">
        <v>58.08</v>
      </c>
      <c r="F12">
        <f t="shared" si="0"/>
        <v>96215.327999999994</v>
      </c>
      <c r="G12">
        <v>8072.84</v>
      </c>
      <c r="H12">
        <v>9870.2900000000009</v>
      </c>
      <c r="I12">
        <f t="shared" si="1"/>
        <v>-1797.4500000000007</v>
      </c>
      <c r="J12">
        <f t="shared" si="2"/>
        <v>94417.877999999997</v>
      </c>
      <c r="K12">
        <v>34935.29</v>
      </c>
      <c r="L12">
        <v>7772.84</v>
      </c>
      <c r="M12">
        <v>3710.8</v>
      </c>
      <c r="N12">
        <v>96334.06</v>
      </c>
    </row>
    <row r="17" spans="2:14" x14ac:dyDescent="0.3">
      <c r="B17">
        <v>11</v>
      </c>
      <c r="C17" t="s">
        <v>33</v>
      </c>
      <c r="D17">
        <v>416</v>
      </c>
      <c r="E17">
        <v>162.97</v>
      </c>
      <c r="F17">
        <f t="shared" si="0"/>
        <v>67795.520000000004</v>
      </c>
      <c r="G17">
        <v>15434.1</v>
      </c>
      <c r="H17">
        <v>3193.6</v>
      </c>
      <c r="J17">
        <f t="shared" si="2"/>
        <v>80036.02</v>
      </c>
      <c r="K17">
        <v>17321.099999999999</v>
      </c>
      <c r="L17">
        <v>3853.7</v>
      </c>
      <c r="M17">
        <v>416.4</v>
      </c>
      <c r="N17">
        <v>67589.7</v>
      </c>
    </row>
    <row r="18" spans="2:14" x14ac:dyDescent="0.3">
      <c r="B18">
        <v>12</v>
      </c>
      <c r="C18" t="s">
        <v>34</v>
      </c>
      <c r="D18">
        <v>2294.25</v>
      </c>
      <c r="E18">
        <v>28.22</v>
      </c>
      <c r="F18">
        <f t="shared" si="0"/>
        <v>64743.735000000001</v>
      </c>
      <c r="G18">
        <v>593.53</v>
      </c>
      <c r="H18">
        <v>1176.26</v>
      </c>
      <c r="J18">
        <f t="shared" si="2"/>
        <v>64161.004999999997</v>
      </c>
      <c r="K18">
        <v>17736.560000000001</v>
      </c>
      <c r="L18">
        <v>5296.6399999999994</v>
      </c>
      <c r="M18">
        <v>1797.79</v>
      </c>
      <c r="N18">
        <v>65258.06</v>
      </c>
    </row>
    <row r="19" spans="2:14" x14ac:dyDescent="0.3">
      <c r="B19">
        <v>13</v>
      </c>
      <c r="C19" t="s">
        <v>35</v>
      </c>
      <c r="D19">
        <v>5418.75</v>
      </c>
      <c r="E19">
        <v>11.96</v>
      </c>
      <c r="F19">
        <f t="shared" si="0"/>
        <v>64808.250000000007</v>
      </c>
      <c r="G19">
        <v>2047.16</v>
      </c>
      <c r="H19">
        <v>1732.9</v>
      </c>
      <c r="J19">
        <f t="shared" si="2"/>
        <v>65122.51</v>
      </c>
      <c r="K19">
        <v>14712.27</v>
      </c>
      <c r="L19">
        <v>3590.06</v>
      </c>
      <c r="M19">
        <v>2351.16</v>
      </c>
      <c r="N19">
        <v>64789.27</v>
      </c>
    </row>
    <row r="20" spans="2:14" x14ac:dyDescent="0.3">
      <c r="B20">
        <v>14</v>
      </c>
      <c r="C20" t="s">
        <v>36</v>
      </c>
      <c r="D20">
        <v>27626</v>
      </c>
      <c r="E20">
        <v>2.12</v>
      </c>
      <c r="F20">
        <f t="shared" si="0"/>
        <v>58567.12</v>
      </c>
      <c r="G20">
        <v>171.99</v>
      </c>
      <c r="H20">
        <v>2254.9499999999998</v>
      </c>
      <c r="J20">
        <f t="shared" si="2"/>
        <v>56484.160000000003</v>
      </c>
      <c r="K20">
        <v>7004.38</v>
      </c>
      <c r="L20">
        <v>2259.66</v>
      </c>
      <c r="M20">
        <v>1614.68</v>
      </c>
      <c r="N20">
        <v>58690.86</v>
      </c>
    </row>
    <row r="21" spans="2:14" x14ac:dyDescent="0.3">
      <c r="B21">
        <v>15</v>
      </c>
      <c r="C21" t="s">
        <v>37</v>
      </c>
      <c r="D21">
        <v>2950</v>
      </c>
      <c r="E21">
        <v>16.5</v>
      </c>
      <c r="F21">
        <f t="shared" si="0"/>
        <v>48675</v>
      </c>
      <c r="G21">
        <v>283.58999999999997</v>
      </c>
      <c r="H21">
        <v>3359.11</v>
      </c>
      <c r="J21">
        <f t="shared" si="2"/>
        <v>45599.479999999996</v>
      </c>
      <c r="K21">
        <v>6725.3</v>
      </c>
      <c r="L21">
        <v>2071.1799999999998</v>
      </c>
      <c r="M21">
        <v>1128.8</v>
      </c>
      <c r="N21">
        <v>48665.14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 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SinhaRoy</dc:creator>
  <cp:lastModifiedBy>Shreya SinhaRoy</cp:lastModifiedBy>
  <dcterms:created xsi:type="dcterms:W3CDTF">2026-08-13T11:03:46Z</dcterms:created>
  <dcterms:modified xsi:type="dcterms:W3CDTF">2026-08-13T13:38:44Z</dcterms:modified>
</cp:coreProperties>
</file>